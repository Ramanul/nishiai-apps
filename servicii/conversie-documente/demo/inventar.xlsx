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8" customWidth="1" min="4" max="4"/>
    <col width="11" customWidth="1" min="5" max="5"/>
    <col width="18" customWidth="1" min="6" max="6"/>
    <col width="20" customWidth="1" min="7" max="7"/>
    <col width="11" customWidth="1" min="8" max="8"/>
  </cols>
  <sheetData>
    <row r="1">
      <c r="A1" s="1" t="inlineStr">
        <is>
          <t>Nr.</t>
        </is>
      </c>
      <c r="B1" s="1" t="inlineStr">
        <is>
          <t>Cod</t>
        </is>
      </c>
      <c r="C1" s="1" t="inlineStr">
        <is>
          <t>Denumire</t>
        </is>
      </c>
      <c r="D1" s="1" t="inlineStr">
        <is>
          <t>Cant.</t>
        </is>
      </c>
      <c r="E1" s="1" t="inlineStr">
        <is>
          <t>Preț unit.</t>
        </is>
      </c>
      <c r="F1" s="1" t="inlineStr">
        <is>
          <t>Valoare (document)</t>
        </is>
      </c>
      <c r="G1" s="1" t="inlineStr">
        <is>
          <t>Valoare (recalculată)</t>
        </is>
      </c>
      <c r="H1" s="1" t="inlineStr">
        <is>
          <t>Diferență</t>
        </is>
      </c>
    </row>
    <row r="2">
      <c r="A2" t="n">
        <v>1</v>
      </c>
      <c r="B2" t="inlineStr">
        <is>
          <t>P-1007</t>
        </is>
      </c>
      <c r="C2" t="inlineStr">
        <is>
          <t>Hârtie A4 80g</t>
        </is>
      </c>
      <c r="D2" t="n">
        <v>22</v>
      </c>
      <c r="E2" s="2" t="n">
        <v>90.13</v>
      </c>
      <c r="F2" s="2" t="n">
        <v>1982.86</v>
      </c>
      <c r="G2" s="2">
        <f>ROUND(D2*E2,2)</f>
        <v/>
      </c>
      <c r="H2" s="2">
        <f>ROUND(F2-G2,2)</f>
        <v/>
      </c>
    </row>
    <row r="3">
      <c r="A3" t="n">
        <v>2</v>
      </c>
      <c r="B3" t="inlineStr">
        <is>
          <t>P-1014</t>
        </is>
      </c>
      <c r="C3" t="inlineStr">
        <is>
          <t>Toner negru</t>
        </is>
      </c>
      <c r="D3" t="n">
        <v>27</v>
      </c>
      <c r="E3" s="2" t="n">
        <v>62.36</v>
      </c>
      <c r="F3" s="2" t="n">
        <v>1683.72</v>
      </c>
      <c r="G3" s="2">
        <f>ROUND(D3*E3,2)</f>
        <v/>
      </c>
      <c r="H3" s="2">
        <f>ROUND(F3-G3,2)</f>
        <v/>
      </c>
    </row>
    <row r="4">
      <c r="A4" t="n">
        <v>3</v>
      </c>
      <c r="B4" t="inlineStr">
        <is>
          <t>P-1021</t>
        </is>
      </c>
      <c r="C4" t="inlineStr">
        <is>
          <t>Pix gel albastru</t>
        </is>
      </c>
      <c r="D4" t="n">
        <v>6</v>
      </c>
      <c r="E4" s="2" t="n">
        <v>78.29000000000001</v>
      </c>
      <c r="F4" s="2" t="n">
        <v>469.74</v>
      </c>
      <c r="G4" s="2">
        <f>ROUND(D4*E4,2)</f>
        <v/>
      </c>
      <c r="H4" s="2">
        <f>ROUND(F4-G4,2)</f>
        <v/>
      </c>
    </row>
    <row r="5">
      <c r="A5" t="n">
        <v>4</v>
      </c>
      <c r="B5" t="inlineStr">
        <is>
          <t>P-1028</t>
        </is>
      </c>
      <c r="C5" t="inlineStr">
        <is>
          <t>Dosar plic</t>
        </is>
      </c>
      <c r="D5" t="n">
        <v>8</v>
      </c>
      <c r="E5" s="2" t="n">
        <v>35.69</v>
      </c>
      <c r="F5" s="2" t="n">
        <v>285.52</v>
      </c>
      <c r="G5" s="2">
        <f>ROUND(D5*E5,2)</f>
        <v/>
      </c>
      <c r="H5" s="2">
        <f>ROUND(F5-G5,2)</f>
        <v/>
      </c>
    </row>
    <row r="6">
      <c r="A6" t="n">
        <v>5</v>
      </c>
      <c r="B6" t="inlineStr">
        <is>
          <t>P-1035</t>
        </is>
      </c>
      <c r="C6" t="inlineStr">
        <is>
          <t>Capsator</t>
        </is>
      </c>
      <c r="D6" t="n">
        <v>5</v>
      </c>
      <c r="E6" s="2" t="n">
        <v>86.56</v>
      </c>
      <c r="F6" s="2" t="n">
        <v>432.8</v>
      </c>
      <c r="G6" s="2">
        <f>ROUND(D6*E6,2)</f>
        <v/>
      </c>
      <c r="H6" s="2">
        <f>ROUND(F6-G6,2)</f>
        <v/>
      </c>
    </row>
    <row r="7">
      <c r="A7" t="n">
        <v>6</v>
      </c>
      <c r="B7" t="inlineStr">
        <is>
          <t>P-1042</t>
        </is>
      </c>
      <c r="C7" t="inlineStr">
        <is>
          <t>Capse 24/6</t>
        </is>
      </c>
      <c r="D7" t="n">
        <v>15</v>
      </c>
      <c r="E7" s="2" t="n">
        <v>5.01</v>
      </c>
      <c r="F7" s="2" t="n">
        <v>75.15000000000001</v>
      </c>
      <c r="G7" s="2">
        <f>ROUND(D7*E7,2)</f>
        <v/>
      </c>
      <c r="H7" s="2">
        <f>ROUND(F7-G7,2)</f>
        <v/>
      </c>
    </row>
    <row r="8">
      <c r="A8" t="n">
        <v>7</v>
      </c>
      <c r="B8" t="inlineStr">
        <is>
          <t>P-1049</t>
        </is>
      </c>
      <c r="C8" t="inlineStr">
        <is>
          <t>Marker permanent</t>
        </is>
      </c>
      <c r="D8" t="n">
        <v>29</v>
      </c>
      <c r="E8" s="2" t="n">
        <v>40.6</v>
      </c>
      <c r="F8" s="2" t="n">
        <v>1177.4</v>
      </c>
      <c r="G8" s="2">
        <f>ROUND(D8*E8,2)</f>
        <v/>
      </c>
      <c r="H8" s="2">
        <f>ROUND(F8-G8,2)</f>
        <v/>
      </c>
    </row>
    <row r="9">
      <c r="A9" t="n">
        <v>8</v>
      </c>
      <c r="B9" t="inlineStr">
        <is>
          <t>P-1056</t>
        </is>
      </c>
      <c r="C9" t="inlineStr">
        <is>
          <t>Bandă adezivă</t>
        </is>
      </c>
      <c r="D9" t="n">
        <v>17</v>
      </c>
      <c r="E9" s="2" t="n">
        <v>9.98</v>
      </c>
      <c r="F9" s="2" t="n">
        <v>169.66</v>
      </c>
      <c r="G9" s="2">
        <f>ROUND(D9*E9,2)</f>
        <v/>
      </c>
      <c r="H9" s="2">
        <f>ROUND(F9-G9,2)</f>
        <v/>
      </c>
    </row>
    <row r="10">
      <c r="A10" t="n">
        <v>9</v>
      </c>
      <c r="B10" t="inlineStr">
        <is>
          <t>P-1063</t>
        </is>
      </c>
      <c r="C10" t="inlineStr">
        <is>
          <t>Plic C4</t>
        </is>
      </c>
      <c r="D10" t="n">
        <v>29</v>
      </c>
      <c r="E10" s="2" t="n">
        <v>7.03</v>
      </c>
      <c r="F10" s="2" t="n">
        <v>203.87</v>
      </c>
      <c r="G10" s="2">
        <f>ROUND(D10*E10,2)</f>
        <v/>
      </c>
      <c r="H10" s="2">
        <f>ROUND(F10-G10,2)</f>
        <v/>
      </c>
    </row>
    <row r="11">
      <c r="A11" t="n">
        <v>10</v>
      </c>
      <c r="B11" t="inlineStr">
        <is>
          <t>P-1070</t>
        </is>
      </c>
      <c r="C11" t="inlineStr">
        <is>
          <t>Caiet A5</t>
        </is>
      </c>
      <c r="D11" t="n">
        <v>38</v>
      </c>
      <c r="E11" s="2" t="n">
        <v>13.08</v>
      </c>
      <c r="F11" s="2" t="n">
        <v>497.04</v>
      </c>
      <c r="G11" s="2">
        <f>ROUND(D11*E11,2)</f>
        <v/>
      </c>
      <c r="H11" s="2">
        <f>ROUND(F11-G11,2)</f>
        <v/>
      </c>
    </row>
    <row r="12">
      <c r="A12" t="n">
        <v>11</v>
      </c>
      <c r="B12" t="inlineStr">
        <is>
          <t>P-1077</t>
        </is>
      </c>
      <c r="C12" t="inlineStr">
        <is>
          <t>Biblioraft 8 cm</t>
        </is>
      </c>
      <c r="D12" t="n">
        <v>16</v>
      </c>
      <c r="E12" s="2" t="n">
        <v>60.46</v>
      </c>
      <c r="F12" s="2" t="n">
        <v>967.36</v>
      </c>
      <c r="G12" s="2">
        <f>ROUND(D12*E12,2)</f>
        <v/>
      </c>
      <c r="H12" s="2">
        <f>ROUND(F12-G12,2)</f>
        <v/>
      </c>
    </row>
    <row r="13">
      <c r="A13" t="n">
        <v>12</v>
      </c>
      <c r="B13" t="inlineStr">
        <is>
          <t>P-1084</t>
        </is>
      </c>
      <c r="C13" t="inlineStr">
        <is>
          <t>Post-it 76x76</t>
        </is>
      </c>
      <c r="D13" t="n">
        <v>39</v>
      </c>
      <c r="E13" s="2" t="n">
        <v>90.11</v>
      </c>
      <c r="F13" s="2" t="n">
        <v>3514.29</v>
      </c>
      <c r="G13" s="2">
        <f>ROUND(D13*E13,2)</f>
        <v/>
      </c>
      <c r="H13" s="2">
        <f>ROUND(F13-G13,2)</f>
        <v/>
      </c>
    </row>
    <row r="14">
      <c r="A14" t="n">
        <v>13</v>
      </c>
      <c r="B14" t="inlineStr">
        <is>
          <t>P-1091</t>
        </is>
      </c>
      <c r="C14" t="inlineStr">
        <is>
          <t>Calculator birou</t>
        </is>
      </c>
      <c r="D14" t="n">
        <v>38</v>
      </c>
      <c r="E14" s="2" t="n">
        <v>56.25</v>
      </c>
      <c r="F14" s="2" t="n">
        <v>2137.5</v>
      </c>
      <c r="G14" s="2">
        <f>ROUND(D14*E14,2)</f>
        <v/>
      </c>
      <c r="H14" s="2">
        <f>ROUND(F14-G14,2)</f>
        <v/>
      </c>
    </row>
    <row r="15">
      <c r="A15" t="n">
        <v>14</v>
      </c>
      <c r="B15" t="inlineStr">
        <is>
          <t>P-1098</t>
        </is>
      </c>
      <c r="C15" t="inlineStr">
        <is>
          <t>Foarfecă</t>
        </is>
      </c>
      <c r="D15" t="n">
        <v>5</v>
      </c>
      <c r="E15" s="2" t="n">
        <v>92.78</v>
      </c>
      <c r="F15" s="2" t="n">
        <v>463.9</v>
      </c>
      <c r="G15" s="2">
        <f>ROUND(D15*E15,2)</f>
        <v/>
      </c>
      <c r="H15" s="2">
        <f>ROUND(F15-G15,2)</f>
        <v/>
      </c>
    </row>
    <row r="16">
      <c r="A16" t="n">
        <v>15</v>
      </c>
      <c r="B16" t="inlineStr">
        <is>
          <t>P-1105</t>
        </is>
      </c>
      <c r="C16" t="inlineStr">
        <is>
          <t>Lipici stick</t>
        </is>
      </c>
      <c r="D16" t="n">
        <v>4</v>
      </c>
      <c r="E16" s="2" t="n">
        <v>53.55</v>
      </c>
      <c r="F16" s="2" t="n">
        <v>214.2</v>
      </c>
      <c r="G16" s="2">
        <f>ROUND(D16*E16,2)</f>
        <v/>
      </c>
      <c r="H16" s="2">
        <f>ROUND(F16-G16,2)</f>
        <v/>
      </c>
    </row>
    <row r="17">
      <c r="A17" t="n">
        <v>16</v>
      </c>
      <c r="B17" t="inlineStr">
        <is>
          <t>P-1112</t>
        </is>
      </c>
      <c r="C17" t="inlineStr">
        <is>
          <t>Separator carton</t>
        </is>
      </c>
      <c r="D17" t="n">
        <v>10</v>
      </c>
      <c r="E17" s="2" t="n">
        <v>28.58</v>
      </c>
      <c r="F17" s="2" t="n">
        <v>285.8</v>
      </c>
      <c r="G17" s="2">
        <f>ROUND(D17*E17,2)</f>
        <v/>
      </c>
      <c r="H17" s="2">
        <f>ROUND(F17-G17,2)</f>
        <v/>
      </c>
    </row>
    <row r="18">
      <c r="C18" s="3" t="inlineStr">
        <is>
          <t>TOTAL</t>
        </is>
      </c>
      <c r="E18" s="2" t="n"/>
      <c r="F18" s="4">
        <f>SUM(F2:F17)</f>
        <v/>
      </c>
      <c r="G18" s="4">
        <f>SUM(G2:G17)</f>
        <v/>
      </c>
      <c r="H18" s="4">
        <f>ROUND(F18-G18,2)</f>
        <v/>
      </c>
    </row>
    <row r="19">
      <c r="C19" t="inlineStr">
        <is>
          <t>Total tipărit pe document</t>
        </is>
      </c>
      <c r="E19" s="2" t="n"/>
      <c r="F19" s="2" t="n">
        <v>14560.81</v>
      </c>
      <c r="G19" s="2" t="n"/>
      <c r="H19" s="2" t="n"/>
    </row>
    <row r="20">
      <c r="C20" t="inlineStr">
        <is>
          <t>Diferență față de totalul tipărit</t>
        </is>
      </c>
      <c r="E20" s="2" t="n"/>
      <c r="F20" s="2">
        <f>ROUND(F18-F19,2)</f>
        <v/>
      </c>
      <c r="G20" s="2" t="n"/>
      <c r="H20" s="2" t="n"/>
    </row>
  </sheetData>
  <conditionalFormatting sqref="H2:H18">
    <cfRule type="expression" priority="1" dxfId="0">
      <formula>H2&lt;&gt;0</formula>
    </cfRule>
  </conditionalFormatting>
  <conditionalFormatting sqref="F20">
    <cfRule type="expression" priority="2" dxfId="0">
      <formula>F20&lt;&gt;0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Sursă: inventar-scanat.pdf (date demonstrative, fictive).</t>
        </is>
      </c>
    </row>
    <row r="2">
      <c r="A2" t="inlineStr">
        <is>
          <t>Coloanele G și H recalculează cant × preț; orice diferență nenulă e colorată.</t>
        </is>
      </c>
    </row>
    <row r="3">
      <c r="A3" t="inlineStr">
        <is>
          <t>Rândul „Diferență față de totalul tipărit” compară suma rândurilor cu totalul de pe document.</t>
        </is>
      </c>
    </row>
    <row r="4">
      <c r="A4" t="inlineStr">
        <is>
          <t>Celulele ilizibile ar fi marcate [ILIZIBIL] și listate aici, nu ghicite.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2026-10-14T09:10:02Z</dcterms:created>
  <dcterms:modified xmlns:dcterms="http://purl.org/dc/terms/" xmlns:xsi="http://www.w3.org/2001/XMLSchema-instance" xsi:type="dcterms:W3CDTF">2026-10-14T09:10:02Z</dcterms:modified>
</cp:coreProperties>
</file>